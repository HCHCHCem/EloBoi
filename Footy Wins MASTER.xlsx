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avertonim-my.sharepoint.com/personal/dhruv_satish_w1m_com/Documents/"/>
    </mc:Choice>
  </mc:AlternateContent>
  <xr:revisionPtr revIDLastSave="32" documentId="8_{6B3D1534-F150-44E2-AD2B-9AE011F05CA6}" xr6:coauthVersionLast="47" xr6:coauthVersionMax="47" xr10:uidLastSave="{E762B6F9-B551-40A5-80F7-B26D15D07AA6}"/>
  <bookViews>
    <workbookView xWindow="-120" yWindow="-120" windowWidth="29040" windowHeight="15720" activeTab="1" xr2:uid="{00000000-000D-0000-FFFF-FFFF00000000}"/>
  </bookViews>
  <sheets>
    <sheet name="Games" sheetId="1" r:id="rId1"/>
    <sheet name="Stats" sheetId="2" r:id="rId2"/>
    <sheet name="How to use" sheetId="3" r:id="rId3"/>
  </sheets>
  <definedNames>
    <definedName name="_xlnm._FilterDatabase" localSheetId="1" hidden="1">Stats!$A$1:$G$124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E24" i="2"/>
  <c r="F24" i="2"/>
  <c r="G24" i="2" a="1"/>
  <c r="G24" i="2"/>
  <c r="B22" i="2"/>
  <c r="C22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6" i="2"/>
  <c r="B6" i="2"/>
  <c r="C3" i="2"/>
  <c r="B3" i="2"/>
  <c r="C8" i="2"/>
  <c r="B8" i="2"/>
  <c r="C5" i="2"/>
  <c r="B5" i="2"/>
  <c r="C4" i="2"/>
  <c r="B4" i="2"/>
  <c r="C13" i="2"/>
  <c r="B13" i="2"/>
  <c r="C19" i="2"/>
  <c r="B19" i="2"/>
  <c r="C10" i="2"/>
  <c r="B10" i="2"/>
  <c r="C2" i="2"/>
  <c r="B2" i="2"/>
  <c r="C23" i="2"/>
  <c r="B23" i="2"/>
  <c r="C16" i="2"/>
  <c r="B16" i="2"/>
  <c r="C18" i="2"/>
  <c r="B18" i="2"/>
  <c r="C7" i="2"/>
  <c r="B7" i="2"/>
  <c r="C20" i="2"/>
  <c r="B20" i="2"/>
  <c r="C15" i="2"/>
  <c r="B15" i="2"/>
  <c r="C11" i="2"/>
  <c r="B11" i="2"/>
  <c r="C14" i="2"/>
  <c r="B14" i="2"/>
  <c r="C12" i="2"/>
  <c r="B12" i="2"/>
  <c r="C17" i="2"/>
  <c r="B17" i="2"/>
  <c r="C21" i="2"/>
  <c r="B21" i="2"/>
  <c r="C9" i="2"/>
  <c r="B9" i="2"/>
  <c r="D6" i="2" l="1"/>
  <c r="E6" i="2" s="1"/>
  <c r="D11" i="2"/>
  <c r="E11" i="2" s="1"/>
  <c r="D23" i="2"/>
  <c r="E23" i="2" s="1"/>
  <c r="D4" i="2"/>
  <c r="E4" i="2" s="1"/>
  <c r="D18" i="2"/>
  <c r="E18" i="2" s="1"/>
  <c r="D8" i="2"/>
  <c r="E8" i="2" s="1"/>
  <c r="D21" i="2"/>
  <c r="E21" i="2" s="1"/>
  <c r="D12" i="2"/>
  <c r="E12" i="2" s="1"/>
  <c r="D19" i="2"/>
  <c r="E19" i="2" s="1"/>
  <c r="D20" i="2"/>
  <c r="E20" i="2" s="1"/>
  <c r="D2" i="2"/>
  <c r="E2" i="2" s="1"/>
  <c r="D22" i="2"/>
  <c r="E22" i="2" s="1"/>
  <c r="D17" i="2"/>
  <c r="E17" i="2" s="1"/>
  <c r="D9" i="2"/>
  <c r="E9" i="2" s="1"/>
  <c r="D14" i="2"/>
  <c r="E14" i="2" s="1"/>
  <c r="D13" i="2"/>
  <c r="E13" i="2" s="1"/>
  <c r="D3" i="2"/>
  <c r="E3" i="2" s="1"/>
  <c r="D15" i="2"/>
  <c r="E15" i="2" s="1"/>
  <c r="D16" i="2"/>
  <c r="E16" i="2" s="1"/>
  <c r="D10" i="2"/>
  <c r="E10" i="2" s="1"/>
  <c r="D5" i="2"/>
  <c r="E5" i="2" s="1"/>
  <c r="D7" i="2"/>
  <c r="E7" i="2" s="1"/>
  <c r="F7" i="2" l="1"/>
  <c r="G7" i="2" a="1"/>
  <c r="G7" i="2" s="1"/>
  <c r="F20" i="2"/>
  <c r="G20" i="2" a="1"/>
  <c r="G20" i="2" s="1"/>
  <c r="F5" i="2"/>
  <c r="G5" i="2" a="1"/>
  <c r="G5" i="2" s="1"/>
  <c r="F19" i="2"/>
  <c r="G19" i="2" a="1"/>
  <c r="G19" i="2" s="1"/>
  <c r="F2" i="2"/>
  <c r="G2" i="2" a="1"/>
  <c r="G2" i="2" s="1"/>
  <c r="F10" i="2"/>
  <c r="G10" i="2" a="1"/>
  <c r="G10" i="2" s="1"/>
  <c r="G12" i="2" a="1"/>
  <c r="G12" i="2" s="1"/>
  <c r="F12" i="2"/>
  <c r="F16" i="2"/>
  <c r="G16" i="2" a="1"/>
  <c r="G16" i="2" s="1"/>
  <c r="F4" i="2"/>
  <c r="G4" i="2" a="1"/>
  <c r="G4" i="2" s="1"/>
  <c r="G21" i="2" a="1"/>
  <c r="G21" i="2" s="1"/>
  <c r="F21" i="2"/>
  <c r="G3" i="2" a="1"/>
  <c r="G3" i="2" s="1"/>
  <c r="F3" i="2"/>
  <c r="G8" i="2" a="1"/>
  <c r="G8" i="2" s="1"/>
  <c r="F8" i="2"/>
  <c r="F15" i="2"/>
  <c r="G15" i="2" a="1"/>
  <c r="G15" i="2" s="1"/>
  <c r="G13" i="2" a="1"/>
  <c r="G13" i="2" s="1"/>
  <c r="F13" i="2"/>
  <c r="F18" i="2"/>
  <c r="G18" i="2" a="1"/>
  <c r="G18" i="2" s="1"/>
  <c r="G14" i="2" a="1"/>
  <c r="G14" i="2" s="1"/>
  <c r="F14" i="2"/>
  <c r="G9" i="2" a="1"/>
  <c r="G9" i="2" s="1"/>
  <c r="F9" i="2"/>
  <c r="G23" i="2" a="1"/>
  <c r="G23" i="2" s="1"/>
  <c r="F23" i="2"/>
  <c r="G17" i="2" a="1"/>
  <c r="G17" i="2" s="1"/>
  <c r="F17" i="2"/>
  <c r="G11" i="2" a="1"/>
  <c r="G11" i="2" s="1"/>
  <c r="F11" i="2"/>
  <c r="F22" i="2"/>
  <c r="G22" i="2" a="1"/>
  <c r="G22" i="2" s="1"/>
  <c r="F6" i="2"/>
  <c r="G6" i="2" a="1"/>
  <c r="G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<sst xmlns="http://schemas.openxmlformats.org/spreadsheetml/2006/main" count="85" uniqueCount="77">
  <si>
    <t>Game</t>
  </si>
  <si>
    <t>Winners (comma-separated)</t>
  </si>
  <si>
    <t>Losers (comma-separated)</t>
  </si>
  <si>
    <t>Notes</t>
  </si>
  <si>
    <t>Player</t>
  </si>
  <si>
    <t>Wins</t>
  </si>
  <si>
    <t>Games</t>
  </si>
  <si>
    <t>Win %</t>
  </si>
  <si>
    <t>Weighted Score</t>
  </si>
  <si>
    <t>Rank (Comp)</t>
  </si>
  <si>
    <t>Rank (Dense)</t>
  </si>
  <si>
    <t>Weight k</t>
  </si>
  <si>
    <t>Min games</t>
  </si>
  <si>
    <t>Harry</t>
  </si>
  <si>
    <t>k penalises small samples. Increase to downweight few-game records.</t>
  </si>
  <si>
    <t>Nick</t>
  </si>
  <si>
    <t>Paddy</t>
  </si>
  <si>
    <t>Edwin</t>
  </si>
  <si>
    <t>Wilko</t>
  </si>
  <si>
    <t>Dhruv</t>
  </si>
  <si>
    <t>Elliot</t>
  </si>
  <si>
    <t>Pablo</t>
  </si>
  <si>
    <t>Abhash</t>
  </si>
  <si>
    <t>Riccardo</t>
  </si>
  <si>
    <t>Will</t>
  </si>
  <si>
    <t>Ahmed</t>
  </si>
  <si>
    <t>Pranav</t>
  </si>
  <si>
    <t>Rob</t>
  </si>
  <si>
    <t>Nadeem</t>
  </si>
  <si>
    <t>George</t>
  </si>
  <si>
    <t>Jayden</t>
  </si>
  <si>
    <t>Peter</t>
  </si>
  <si>
    <t>Alexi</t>
  </si>
  <si>
    <t>Noel</t>
  </si>
  <si>
    <t>Adit</t>
  </si>
  <si>
    <t>Josh</t>
  </si>
  <si>
    <t>Quick Start (No macros, works in Excel 2016+)</t>
  </si>
  <si>
    <t>1) On the 'Games' sheet, paste each game's winners and losers as comma-separated names.</t>
  </si>
  <si>
    <t>2) On 'Stats', the player list is prefilled. Add/remove names in column A if needed.</t>
  </si>
  <si>
    <t>3) Columns B–D compute Wins, Games, Win %.</t>
  </si>
  <si>
    <t>4) Column E is a Weighted Score = Win% * (Games / (Games + k)).</t>
  </si>
  <si>
    <t xml:space="preserve">   - k (cell K2) downweights small samples (try 3–8).</t>
  </si>
  <si>
    <t xml:space="preserve">   - Min games (L2): players with fewer are excluded from ranking.</t>
  </si>
  <si>
    <t>5) Columns F and G show ranks: Competition (ties share same rank with gaps) and Dense (ties share rank without gaps).</t>
  </si>
  <si>
    <t>6) Sort the table by Rank (Dense) then Wins to show a tie-aware leaderboard. Equal ranks will be visible in column G.</t>
  </si>
  <si>
    <t>Date</t>
  </si>
  <si>
    <t>Location</t>
  </si>
  <si>
    <t>Borough</t>
  </si>
  <si>
    <t>Haggerston</t>
  </si>
  <si>
    <t>Shoreditch</t>
  </si>
  <si>
    <t>Harry, Nick, Paddy, Edwin, Wilko, Dhruv</t>
  </si>
  <si>
    <t>Elliot, Pablo, Abhash, Riccardo, Will, Ahmed</t>
  </si>
  <si>
    <t>Draw</t>
  </si>
  <si>
    <t>Dhruv, Nick, Paddy, Pranav, Wilko, Rob, Nadeem, Harry</t>
  </si>
  <si>
    <t xml:space="preserve">Riccardo, Elliot, George, Pablo, Jayden, Edwin </t>
  </si>
  <si>
    <t>Dhruv, Peter, Harry, Rob, Alexi</t>
  </si>
  <si>
    <t>Paddy, Nick, Noel, Pablo, Abhash</t>
  </si>
  <si>
    <t>Pablo, Will, Adit, Noel, Edwin, Dhruv</t>
  </si>
  <si>
    <t>Paddy, Nick, Wilko, Harry, Elliot, Ahmed</t>
  </si>
  <si>
    <t>Adit, Dhruv, Ahmed, Elliot, Abhash, Josh</t>
  </si>
  <si>
    <t>Harry, Riccardo, Edwin, Wilko, Noel, Pablo</t>
  </si>
  <si>
    <t xml:space="preserve">Moreland </t>
  </si>
  <si>
    <t>Pablo, Paddy, Noel, Abhash, Dhruv</t>
  </si>
  <si>
    <t>Nick, Wilko, Dom, Harry, Ahmed</t>
  </si>
  <si>
    <t>Moreland</t>
  </si>
  <si>
    <t>Abhash, Harry, Wilko, Filip, Edwin, Gabe</t>
  </si>
  <si>
    <t>Ahmed, Nadeem, Dhruv, Elliot, Will, Pablo</t>
  </si>
  <si>
    <t>Dhruv, Harry, Edwin, Wilko, Noel, Nadeem</t>
  </si>
  <si>
    <t>George, Riccardo, Pranav, Paddy, Ahmed, Elliot</t>
  </si>
  <si>
    <t>Ahmed, Pranav, Dhruv, Nick, Paddy, Wilko, Edwin</t>
  </si>
  <si>
    <t>Harry, Peter, Jayden, Riccardo, Elliot, George, Rob</t>
  </si>
  <si>
    <t>Abhash, Elliot, Noel, Harry, Will, Riccardo</t>
  </si>
  <si>
    <t>Paddy, Nick, Dhruv, Edwin, Pranav, Jack</t>
  </si>
  <si>
    <t>Shoreditch Rooftop</t>
  </si>
  <si>
    <t>Abhash, Elliot, Noel, Rob, Edwin</t>
  </si>
  <si>
    <t>Paddy, Wilko, Nick, Dhruv, Will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</si>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</sst>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2" fillId="0" borderId="0" xfId="0" applyFont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09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8" customWidth="1"/>
    <col min="2" max="3" width="45" customWidth="1"/>
    <col min="4" max="4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45</v>
      </c>
      <c r="E1" s="1" t="s">
        <v>46</v>
      </c>
    </row>
    <row r="2" spans="1:5" x14ac:dyDescent="0.25">
      <c r="A2">
        <v>1</v>
      </c>
      <c r="B2" t="s">
        <v>50</v>
      </c>
      <c r="C2" t="s">
        <v>51</v>
      </c>
      <c r="D2" s="4">
        <v>45822</v>
      </c>
      <c r="E2" s="4" t="s">
        <v>47</v>
      </c>
    </row>
    <row r="3" spans="1:5" x14ac:dyDescent="0.25">
      <c r="A3">
        <v>2</v>
      </c>
      <c r="D3" s="4">
        <v>45829</v>
      </c>
      <c r="E3" t="s">
        <v>47</v>
      </c>
    </row>
    <row r="4" spans="1:5" x14ac:dyDescent="0.25">
      <c r="A4">
        <v>3</v>
      </c>
      <c r="D4" s="4">
        <v>45836</v>
      </c>
      <c r="E4" t="s">
        <v>47</v>
      </c>
    </row>
    <row r="5" spans="1:5" x14ac:dyDescent="0.25">
      <c r="A5">
        <v>4</v>
      </c>
      <c r="B5" t="s">
        <v>52</v>
      </c>
      <c r="D5" s="4">
        <v>45885</v>
      </c>
      <c r="E5" s="4" t="s">
        <v>48</v>
      </c>
    </row>
    <row r="6" spans="1:5" x14ac:dyDescent="0.25">
      <c r="A6">
        <v>5</v>
      </c>
      <c r="B6" t="s">
        <v>53</v>
      </c>
      <c r="C6" t="s">
        <v>54</v>
      </c>
      <c r="D6" s="4">
        <v>45892</v>
      </c>
      <c r="E6" s="4" t="s">
        <v>48</v>
      </c>
    </row>
    <row r="7" spans="1:5" x14ac:dyDescent="0.25">
      <c r="A7">
        <v>6</v>
      </c>
      <c r="B7" t="s">
        <v>55</v>
      </c>
      <c r="C7" t="s">
        <v>56</v>
      </c>
      <c r="D7" s="4">
        <v>45899</v>
      </c>
      <c r="E7" s="4" t="s">
        <v>49</v>
      </c>
    </row>
    <row r="8" spans="1:5" x14ac:dyDescent="0.25">
      <c r="A8">
        <v>7</v>
      </c>
      <c r="D8" s="4"/>
      <c r="E8" s="4"/>
    </row>
    <row r="9" spans="1:5" x14ac:dyDescent="0.25">
      <c r="A9">
        <v>8</v>
      </c>
      <c r="B9" t="s">
        <v>62</v>
      </c>
      <c r="C9" t="s">
        <v>63</v>
      </c>
      <c r="D9" s="4">
        <v>45906</v>
      </c>
      <c r="E9" s="4" t="s">
        <v>49</v>
      </c>
    </row>
    <row r="10" spans="1:5" x14ac:dyDescent="0.25">
      <c r="A10">
        <v>9</v>
      </c>
      <c r="B10" t="s">
        <v>57</v>
      </c>
      <c r="C10" t="s">
        <v>58</v>
      </c>
      <c r="D10" s="4">
        <v>45920</v>
      </c>
      <c r="E10" s="4" t="s">
        <v>61</v>
      </c>
    </row>
    <row r="11" spans="1:5" x14ac:dyDescent="0.25">
      <c r="A11">
        <v>10</v>
      </c>
      <c r="B11" t="s">
        <v>59</v>
      </c>
      <c r="C11" t="s">
        <v>60</v>
      </c>
      <c r="D11" s="4">
        <v>45927</v>
      </c>
      <c r="E11" s="4" t="s">
        <v>61</v>
      </c>
    </row>
    <row r="12" spans="1:5" x14ac:dyDescent="0.25">
      <c r="A12">
        <v>11</v>
      </c>
      <c r="B12" s="5" t="s">
        <v>67</v>
      </c>
      <c r="C12" s="5" t="s">
        <v>68</v>
      </c>
      <c r="D12" s="4">
        <v>45934</v>
      </c>
      <c r="E12" s="4" t="s">
        <v>64</v>
      </c>
    </row>
    <row r="13" spans="1:5" x14ac:dyDescent="0.25">
      <c r="A13">
        <v>12</v>
      </c>
      <c r="B13" t="s">
        <v>65</v>
      </c>
      <c r="C13" t="s">
        <v>66</v>
      </c>
      <c r="D13" s="4">
        <v>45942</v>
      </c>
      <c r="E13" s="4" t="s">
        <v>64</v>
      </c>
    </row>
    <row r="14" spans="1:5" x14ac:dyDescent="0.25">
      <c r="A14">
        <v>13</v>
      </c>
      <c r="B14" t="s">
        <v>70</v>
      </c>
      <c r="C14" t="s">
        <v>69</v>
      </c>
      <c r="D14" s="4">
        <v>45963</v>
      </c>
      <c r="E14" s="4" t="s">
        <v>49</v>
      </c>
    </row>
    <row r="15" spans="1:5" x14ac:dyDescent="0.25">
      <c r="A15">
        <v>14</v>
      </c>
      <c r="B15" t="s">
        <v>74</v>
      </c>
      <c r="C15" t="s">
        <v>75</v>
      </c>
      <c r="D15" s="4">
        <v>45969</v>
      </c>
      <c r="E15" s="4" t="s">
        <v>73</v>
      </c>
    </row>
    <row r="16" spans="1:5" x14ac:dyDescent="0.25">
      <c r="A16">
        <v>15</v>
      </c>
      <c r="B16" t="s">
        <v>71</v>
      </c>
      <c r="C16" t="s">
        <v>72</v>
      </c>
      <c r="D16" s="4">
        <v>45998</v>
      </c>
      <c r="E16" s="4" t="s">
        <v>64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3"/>
  <sheetViews>
    <sheetView tabSelected="1" zoomScale="109" workbookViewId="0">
      <pane ySplit="1" topLeftCell="A2" activePane="bottomLeft" state="frozen"/>
      <selection pane="bottomLeft" activeCell="C31" sqref="C31"/>
    </sheetView>
  </sheetViews>
  <sheetFormatPr defaultRowHeight="15" x14ac:dyDescent="0.25"/>
  <cols>
    <col min="1" max="1" width="18" customWidth="1"/>
    <col min="2" max="4" width="10" customWidth="1"/>
    <col min="5" max="5" width="16" customWidth="1"/>
    <col min="6" max="7" width="14" customWidth="1"/>
    <col min="11" max="12" width="12" customWidth="1"/>
    <col min="13" max="13" width="60" customWidth="1"/>
  </cols>
  <sheetData>
    <row r="1" spans="1:13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K1" t="s">
        <v>11</v>
      </c>
      <c r="L1" t="s">
        <v>12</v>
      </c>
      <c r="M1" t="s">
        <v>3</v>
      </c>
    </row>
    <row r="2" spans="1:13" x14ac:dyDescent="0.25">
      <c r="A2" t="s">
        <v>27</v>
      </c>
      <c r="B2">
        <f>IF(A2="","",COUNTIF(Games!B:B,"*" &amp; A2 &amp; "*"))</f>
        <v>4</v>
      </c>
      <c r="C2">
        <f>IF(A2="","",COUNTIF(Games!B:C,"*" &amp; A2 &amp; "*"))</f>
        <v>4</v>
      </c>
      <c r="D2" s="2">
        <f>IF(C2=0,"",B2/C2)</f>
        <v>1</v>
      </c>
      <c r="E2">
        <f>IF(C2&lt;$L$2,"",IF(C2=0,"",D2*(C2/(C2+$K$2))))</f>
        <v>0.5714285714285714</v>
      </c>
      <c r="F2">
        <f>IF(E2="","",RANK(E2,$E$2:$E$100,0))</f>
        <v>1</v>
      </c>
      <c r="G2" cm="1">
        <f t="array" ref="G2">IF(E2="","",RANK(E2,$E$2:$E$100,0)-SUMPRODUCT(($E$2:$E$100&gt;E2)/COUNTIF($E$2:$E$100,$E$2:$E$100)))</f>
        <v>1</v>
      </c>
      <c r="K2">
        <v>3</v>
      </c>
      <c r="L2">
        <v>1</v>
      </c>
      <c r="M2" t="s">
        <v>14</v>
      </c>
    </row>
    <row r="3" spans="1:13" x14ac:dyDescent="0.25">
      <c r="A3" t="s">
        <v>34</v>
      </c>
      <c r="B3">
        <f>IF(A3="","",COUNTIF(Games!B:B,"*" &amp; A3 &amp; "*"))</f>
        <v>2</v>
      </c>
      <c r="C3">
        <f>IF(A3="","",COUNTIF(Games!B:C,"*" &amp; A3 &amp; "*"))</f>
        <v>2</v>
      </c>
      <c r="D3" s="2">
        <f>IF(C3=0,"",B3/C3)</f>
        <v>1</v>
      </c>
      <c r="E3">
        <f>IF(C3&lt;$L$2,"",IF(C3=0,"",D3*(C3/(C3+$K$2))))</f>
        <v>0.4</v>
      </c>
      <c r="F3">
        <f>IF(E3="","",RANK(E3,$E$2:$E$100,0))</f>
        <v>7</v>
      </c>
      <c r="G3" cm="1">
        <f t="array" ref="G3">IF(E3="","",RANK(E3,$E$2:$E$100,0)-SUMPRODUCT(($E$2:$E$100&gt;E3)/COUNTIF($E$2:$E$100,$E$2:$E$100)))</f>
        <v>3</v>
      </c>
    </row>
    <row r="4" spans="1:13" x14ac:dyDescent="0.25">
      <c r="A4" t="s">
        <v>31</v>
      </c>
      <c r="B4">
        <f>IF(A4="","",COUNTIF(Games!B:B,"*" &amp; A4 &amp; "*"))</f>
        <v>2</v>
      </c>
      <c r="C4">
        <f>IF(A4="","",COUNTIF(Games!B:C,"*" &amp; A4 &amp; "*"))</f>
        <v>2</v>
      </c>
      <c r="D4" s="2">
        <f>IF(C4=0,"",B4/C4)</f>
        <v>1</v>
      </c>
      <c r="E4">
        <f>IF(C4&lt;$L$2,"",IF(C4=0,"",D4*(C4/(C4+$K$2))))</f>
        <v>0.4</v>
      </c>
      <c r="F4">
        <f>IF(E4="","",RANK(E4,$E$2:$E$100,0))</f>
        <v>7</v>
      </c>
      <c r="G4" cm="1">
        <f t="array" ref="G4">IF(E4="","",RANK(E4,$E$2:$E$100,0)-SUMPRODUCT(($E$2:$E$100&gt;E4)/COUNTIF($E$2:$E$100,$E$2:$E$100)))</f>
        <v>3</v>
      </c>
    </row>
    <row r="5" spans="1:13" x14ac:dyDescent="0.25">
      <c r="A5" t="s">
        <v>32</v>
      </c>
      <c r="B5">
        <f>IF(A5="","",COUNTIF(Games!B:B,"*" &amp; A5 &amp; "*"))</f>
        <v>1</v>
      </c>
      <c r="C5">
        <f>IF(A5="","",COUNTIF(Games!B:C,"*" &amp; A5 &amp; "*"))</f>
        <v>1</v>
      </c>
      <c r="D5" s="2">
        <f>IF(C5=0,"",B5/C5)</f>
        <v>1</v>
      </c>
      <c r="E5">
        <f>IF(C5&lt;$L$2,"",IF(C5=0,"",D5*(C5/(C5+$K$2))))</f>
        <v>0.25</v>
      </c>
      <c r="F5">
        <f>IF(E5="","",RANK(E5,$E$2:$E$100,0))</f>
        <v>12</v>
      </c>
      <c r="G5" cm="1">
        <f t="array" ref="G5">IF(E5="","",RANK(E5,$E$2:$E$100,0)-SUMPRODUCT(($E$2:$E$100&gt;E5)/COUNTIF($E$2:$E$100,$E$2:$E$100)))</f>
        <v>6.0000000000000009</v>
      </c>
    </row>
    <row r="6" spans="1:13" x14ac:dyDescent="0.25">
      <c r="A6" t="s">
        <v>35</v>
      </c>
      <c r="B6">
        <f>IF(A6="","",COUNTIF(Games!B:B,"*" &amp; A6 &amp; "*"))</f>
        <v>1</v>
      </c>
      <c r="C6">
        <f>IF(A6="","",COUNTIF(Games!B:C,"*" &amp; A6 &amp; "*"))</f>
        <v>1</v>
      </c>
      <c r="D6" s="2">
        <f>IF(C6=0,"",B6/C6)</f>
        <v>1</v>
      </c>
      <c r="E6">
        <f>IF(C6&lt;$L$2,"",IF(C6=0,"",D6*(C6/(C6+$K$2))))</f>
        <v>0.25</v>
      </c>
      <c r="F6">
        <f>IF(E6="","",RANK(E6,$E$2:$E$100,0))</f>
        <v>12</v>
      </c>
      <c r="G6" cm="1">
        <f t="array" ref="G6">IF(E6="","",RANK(E6,$E$2:$E$100,0)-SUMPRODUCT(($E$2:$E$100&gt;E6)/COUNTIF($E$2:$E$100,$E$2:$E$100)))</f>
        <v>6.0000000000000009</v>
      </c>
    </row>
    <row r="7" spans="1:13" x14ac:dyDescent="0.25">
      <c r="A7" t="s">
        <v>22</v>
      </c>
      <c r="B7">
        <f>IF(A7="","",COUNTIF(Games!B:B,"*" &amp; A7 &amp; "*"))</f>
        <v>5</v>
      </c>
      <c r="C7">
        <f>IF(A7="","",COUNTIF(Games!B:C,"*" &amp; A7 &amp; "*"))</f>
        <v>7</v>
      </c>
      <c r="D7" s="2">
        <f>IF(C7=0,"",B7/C7)</f>
        <v>0.7142857142857143</v>
      </c>
      <c r="E7">
        <f>IF(C7&lt;$L$2,"",IF(C7=0,"",D7*(C7/(C7+$K$2))))</f>
        <v>0.5</v>
      </c>
      <c r="F7">
        <f>IF(E7="","",RANK(E7,$E$2:$E$100,0))</f>
        <v>3</v>
      </c>
      <c r="G7" cm="1">
        <f t="array" ref="G7">IF(E7="","",RANK(E7,$E$2:$E$100,0)-SUMPRODUCT(($E$2:$E$100&gt;E7)/COUNTIF($E$2:$E$100,$E$2:$E$100)))</f>
        <v>1</v>
      </c>
    </row>
    <row r="8" spans="1:13" x14ac:dyDescent="0.25">
      <c r="A8" t="s">
        <v>33</v>
      </c>
      <c r="B8">
        <f>IF(A8="","",COUNTIF(Games!B:B,"*" &amp; A8 &amp; "*"))</f>
        <v>5</v>
      </c>
      <c r="C8">
        <f>IF(A8="","",COUNTIF(Games!B:C,"*" &amp; A8 &amp; "*"))</f>
        <v>7</v>
      </c>
      <c r="D8" s="2">
        <f>IF(C8=0,"",B8/C8)</f>
        <v>0.7142857142857143</v>
      </c>
      <c r="E8">
        <f>IF(C8&lt;$L$2,"",IF(C8=0,"",D8*(C8/(C8+$K$2))))</f>
        <v>0.5</v>
      </c>
      <c r="F8">
        <f>IF(E8="","",RANK(E8,$E$2:$E$100,0))</f>
        <v>3</v>
      </c>
      <c r="G8" cm="1">
        <f t="array" ref="G8">IF(E8="","",RANK(E8,$E$2:$E$100,0)-SUMPRODUCT(($E$2:$E$100&gt;E8)/COUNTIF($E$2:$E$100,$E$2:$E$100)))</f>
        <v>1</v>
      </c>
    </row>
    <row r="9" spans="1:13" x14ac:dyDescent="0.25">
      <c r="A9" t="s">
        <v>13</v>
      </c>
      <c r="B9">
        <f>IF(A9="","",COUNTIF(Games!B:B,"*" &amp; A9 &amp; "*"))</f>
        <v>7</v>
      </c>
      <c r="C9">
        <f>IF(A9="","",COUNTIF(Games!B:C,"*" &amp; A9 &amp; "*"))</f>
        <v>10</v>
      </c>
      <c r="D9" s="2">
        <f>IF(C9=0,"",B9/C9)</f>
        <v>0.7</v>
      </c>
      <c r="E9">
        <f>IF(C9&lt;$L$2,"",IF(C9=0,"",D9*(C9/(C9+$K$2))))</f>
        <v>0.53846153846153844</v>
      </c>
      <c r="F9">
        <f>IF(E9="","",RANK(E9,$E$2:$E$100,0))</f>
        <v>2</v>
      </c>
      <c r="G9" cm="1">
        <f t="array" ref="G9">IF(E9="","",RANK(E9,$E$2:$E$100,0)-SUMPRODUCT(($E$2:$E$100&gt;E9)/COUNTIF($E$2:$E$100,$E$2:$E$100)))</f>
        <v>1</v>
      </c>
    </row>
    <row r="10" spans="1:13" x14ac:dyDescent="0.25">
      <c r="A10" t="s">
        <v>28</v>
      </c>
      <c r="B10">
        <f>IF(A10="","",COUNTIF(Games!B:B,"*" &amp; A10 &amp; "*"))</f>
        <v>2</v>
      </c>
      <c r="C10">
        <f>IF(A10="","",COUNTIF(Games!B:C,"*" &amp; A10 &amp; "*"))</f>
        <v>3</v>
      </c>
      <c r="D10" s="2">
        <f>IF(C10=0,"",B10/C10)</f>
        <v>0.66666666666666663</v>
      </c>
      <c r="E10">
        <f>IF(C10&lt;$L$2,"",IF(C10=0,"",D10*(C10/(C10+$K$2))))</f>
        <v>0.33333333333333331</v>
      </c>
      <c r="F10">
        <f>IF(E10="","",RANK(E10,$E$2:$E$100,0))</f>
        <v>9</v>
      </c>
      <c r="G10" cm="1">
        <f t="array" ref="G10">IF(E10="","",RANK(E10,$E$2:$E$100,0)-SUMPRODUCT(($E$2:$E$100&gt;E10)/COUNTIF($E$2:$E$100,$E$2:$E$100)))</f>
        <v>4</v>
      </c>
    </row>
    <row r="11" spans="1:13" x14ac:dyDescent="0.25">
      <c r="A11" t="s">
        <v>19</v>
      </c>
      <c r="B11">
        <f>IF(A11="","",COUNTIF(Games!B:B,"*" &amp; A11 &amp; "*"))</f>
        <v>7</v>
      </c>
      <c r="C11">
        <f>IF(A11="","",COUNTIF(Games!B:C,"*" &amp; A11 &amp; "*"))</f>
        <v>11</v>
      </c>
      <c r="D11" s="2">
        <f>IF(C11=0,"",B11/C11)</f>
        <v>0.63636363636363635</v>
      </c>
      <c r="E11">
        <f>IF(C11&lt;$L$2,"",IF(C11=0,"",D11*(C11/(C11+$K$2))))</f>
        <v>0.5</v>
      </c>
      <c r="F11">
        <f>IF(E11="","",RANK(E11,$E$2:$E$100,0))</f>
        <v>3</v>
      </c>
      <c r="G11" cm="1">
        <f t="array" ref="G11">IF(E11="","",RANK(E11,$E$2:$E$100,0)-SUMPRODUCT(($E$2:$E$100&gt;E11)/COUNTIF($E$2:$E$100,$E$2:$E$100)))</f>
        <v>1</v>
      </c>
    </row>
    <row r="12" spans="1:13" x14ac:dyDescent="0.25">
      <c r="A12" t="s">
        <v>17</v>
      </c>
      <c r="B12">
        <f>IF(A12="","",COUNTIF(Games!B:B,"*" &amp; A12 &amp; "*"))</f>
        <v>5</v>
      </c>
      <c r="C12">
        <f>IF(A12="","",COUNTIF(Games!B:C,"*" &amp; A12 &amp; "*"))</f>
        <v>9</v>
      </c>
      <c r="D12" s="2">
        <f>IF(C12=0,"",B12/C12)</f>
        <v>0.55555555555555558</v>
      </c>
      <c r="E12">
        <f>IF(C12&lt;$L$2,"",IF(C12=0,"",D12*(C12/(C12+$K$2))))</f>
        <v>0.41666666666666669</v>
      </c>
      <c r="F12">
        <f>IF(E12="","",RANK(E12,$E$2:$E$100,0))</f>
        <v>6</v>
      </c>
      <c r="G12" cm="1">
        <f t="array" ref="G12">IF(E12="","",RANK(E12,$E$2:$E$100,0)-SUMPRODUCT(($E$2:$E$100&gt;E12)/COUNTIF($E$2:$E$100,$E$2:$E$100)))</f>
        <v>3</v>
      </c>
    </row>
    <row r="13" spans="1:13" x14ac:dyDescent="0.25">
      <c r="A13" t="s">
        <v>30</v>
      </c>
      <c r="B13">
        <f>IF(A13="","",COUNTIF(Games!B:B,"*" &amp; A13 &amp; "*"))</f>
        <v>1</v>
      </c>
      <c r="C13">
        <f>IF(A13="","",COUNTIF(Games!B:C,"*" &amp; A13 &amp; "*"))</f>
        <v>2</v>
      </c>
      <c r="D13" s="2">
        <f>IF(C13=0,"",B13/C13)</f>
        <v>0.5</v>
      </c>
      <c r="E13">
        <f>IF(C13&lt;$L$2,"",IF(C13=0,"",D13*(C13/(C13+$K$2))))</f>
        <v>0.2</v>
      </c>
      <c r="F13">
        <f>IF(E13="","",RANK(E13,$E$2:$E$100,0))</f>
        <v>17</v>
      </c>
      <c r="G13" cm="1">
        <f t="array" ref="G13">IF(E13="","",RANK(E13,$E$2:$E$100,0)-SUMPRODUCT(($E$2:$E$100&gt;E13)/COUNTIF($E$2:$E$100,$E$2:$E$100)))</f>
        <v>9</v>
      </c>
    </row>
    <row r="14" spans="1:13" x14ac:dyDescent="0.25">
      <c r="A14" t="s">
        <v>18</v>
      </c>
      <c r="B14">
        <f>IF(A14="","",COUNTIF(Games!B:B,"*" &amp; A14 &amp; "*"))</f>
        <v>4</v>
      </c>
      <c r="C14">
        <f>IF(A14="","",COUNTIF(Games!B:C,"*" &amp; A14 &amp; "*"))</f>
        <v>9</v>
      </c>
      <c r="D14" s="2">
        <f>IF(C14=0,"",B14/C14)</f>
        <v>0.44444444444444442</v>
      </c>
      <c r="E14">
        <f>IF(C14&lt;$L$2,"",IF(C14=0,"",D14*(C14/(C14+$K$2))))</f>
        <v>0.33333333333333331</v>
      </c>
      <c r="F14">
        <f>IF(E14="","",RANK(E14,$E$2:$E$100,0))</f>
        <v>9</v>
      </c>
      <c r="G14" cm="1">
        <f t="array" ref="G14">IF(E14="","",RANK(E14,$E$2:$E$100,0)-SUMPRODUCT(($E$2:$E$100&gt;E14)/COUNTIF($E$2:$E$100,$E$2:$E$100)))</f>
        <v>4</v>
      </c>
    </row>
    <row r="15" spans="1:13" x14ac:dyDescent="0.25">
      <c r="A15" t="s">
        <v>20</v>
      </c>
      <c r="B15">
        <f>IF(A15="","",COUNTIF(Games!B:B,"*" &amp; A15 &amp; "*"))</f>
        <v>4</v>
      </c>
      <c r="C15">
        <f>IF(A15="","",COUNTIF(Games!B:C,"*" &amp; A15 &amp; "*"))</f>
        <v>9</v>
      </c>
      <c r="D15" s="2">
        <f>IF(C15=0,"",B15/C15)</f>
        <v>0.44444444444444442</v>
      </c>
      <c r="E15">
        <f>IF(C15&lt;$L$2,"",IF(C15=0,"",D15*(C15/(C15+$K$2))))</f>
        <v>0.33333333333333331</v>
      </c>
      <c r="F15">
        <f>IF(E15="","",RANK(E15,$E$2:$E$100,0))</f>
        <v>9</v>
      </c>
      <c r="G15" cm="1">
        <f t="array" ref="G15">IF(E15="","",RANK(E15,$E$2:$E$100,0)-SUMPRODUCT(($E$2:$E$100&gt;E15)/COUNTIF($E$2:$E$100,$E$2:$E$100)))</f>
        <v>4</v>
      </c>
    </row>
    <row r="16" spans="1:13" x14ac:dyDescent="0.25">
      <c r="A16" t="s">
        <v>24</v>
      </c>
      <c r="B16">
        <f>IF(A16="","",COUNTIF(Games!B:B,"*" &amp; A16 &amp; "*"))</f>
        <v>2</v>
      </c>
      <c r="C16">
        <f>IF(A16="","",COUNTIF(Games!B:C,"*" &amp; A16 &amp; "*"))</f>
        <v>5</v>
      </c>
      <c r="D16" s="2">
        <f>IF(C16=0,"",B16/C16)</f>
        <v>0.4</v>
      </c>
      <c r="E16">
        <f>IF(C16&lt;$L$2,"",IF(C16=0,"",D16*(C16/(C16+$K$2))))</f>
        <v>0.25</v>
      </c>
      <c r="F16">
        <f>IF(E16="","",RANK(E16,$E$2:$E$100,0))</f>
        <v>12</v>
      </c>
      <c r="G16" cm="1">
        <f t="array" ref="G16">IF(E16="","",RANK(E16,$E$2:$E$100,0)-SUMPRODUCT(($E$2:$E$100&gt;E16)/COUNTIF($E$2:$E$100,$E$2:$E$100)))</f>
        <v>6.0000000000000009</v>
      </c>
    </row>
    <row r="17" spans="1:7" x14ac:dyDescent="0.25">
      <c r="A17" t="s">
        <v>16</v>
      </c>
      <c r="B17">
        <f>IF(A17="","",COUNTIF(Games!B:B,"*" &amp; A17 &amp; "*"))</f>
        <v>3</v>
      </c>
      <c r="C17">
        <f>IF(A17="","",COUNTIF(Games!B:C,"*" &amp; A17 &amp; "*"))</f>
        <v>9</v>
      </c>
      <c r="D17" s="2">
        <f>IF(C17=0,"",B17/C17)</f>
        <v>0.33333333333333331</v>
      </c>
      <c r="E17">
        <f>IF(C17&lt;$L$2,"",IF(C17=0,"",D17*(C17/(C17+$K$2))))</f>
        <v>0.25</v>
      </c>
      <c r="F17">
        <f>IF(E17="","",RANK(E17,$E$2:$E$100,0))</f>
        <v>12</v>
      </c>
      <c r="G17" cm="1">
        <f t="array" ref="G17">IF(E17="","",RANK(E17,$E$2:$E$100,0)-SUMPRODUCT(($E$2:$E$100&gt;E17)/COUNTIF($E$2:$E$100,$E$2:$E$100)))</f>
        <v>6.0000000000000009</v>
      </c>
    </row>
    <row r="18" spans="1:7" x14ac:dyDescent="0.25">
      <c r="A18" t="s">
        <v>23</v>
      </c>
      <c r="B18">
        <f>IF(A18="","",COUNTIF(Games!B:B,"*" &amp; A18 &amp; "*"))</f>
        <v>2</v>
      </c>
      <c r="C18">
        <f>IF(A18="","",COUNTIF(Games!B:C,"*" &amp; A18 &amp; "*"))</f>
        <v>6</v>
      </c>
      <c r="D18" s="2">
        <f>IF(C18=0,"",B18/C18)</f>
        <v>0.33333333333333331</v>
      </c>
      <c r="E18">
        <f>IF(C18&lt;$L$2,"",IF(C18=0,"",D18*(C18/(C18+$K$2))))</f>
        <v>0.22222222222222221</v>
      </c>
      <c r="F18">
        <f>IF(E18="","",RANK(E18,$E$2:$E$100,0))</f>
        <v>16</v>
      </c>
      <c r="G18" cm="1">
        <f t="array" ref="G18">IF(E18="","",RANK(E18,$E$2:$E$100,0)-SUMPRODUCT(($E$2:$E$100&gt;E18)/COUNTIF($E$2:$E$100,$E$2:$E$100)))</f>
        <v>9</v>
      </c>
    </row>
    <row r="19" spans="1:7" x14ac:dyDescent="0.25">
      <c r="A19" t="s">
        <v>29</v>
      </c>
      <c r="B19">
        <f>IF(A19="","",COUNTIF(Games!B:B,"*" &amp; A19 &amp; "*"))</f>
        <v>1</v>
      </c>
      <c r="C19">
        <f>IF(A19="","",COUNTIF(Games!B:C,"*" &amp; A19 &amp; "*"))</f>
        <v>3</v>
      </c>
      <c r="D19" s="2">
        <f>IF(C19=0,"",B19/C19)</f>
        <v>0.33333333333333331</v>
      </c>
      <c r="E19">
        <f>IF(C19&lt;$L$2,"",IF(C19=0,"",D19*(C19/(C19+$K$2))))</f>
        <v>0.16666666666666666</v>
      </c>
      <c r="F19">
        <f>IF(E19="","",RANK(E19,$E$2:$E$100,0))</f>
        <v>20</v>
      </c>
      <c r="G19" cm="1">
        <f t="array" ref="G19">IF(E19="","",RANK(E19,$E$2:$E$100,0)-SUMPRODUCT(($E$2:$E$100&gt;E19)/COUNTIF($E$2:$E$100,$E$2:$E$100)))</f>
        <v>10</v>
      </c>
    </row>
    <row r="20" spans="1:7" x14ac:dyDescent="0.25">
      <c r="A20" t="s">
        <v>21</v>
      </c>
      <c r="B20">
        <f>IF(A20="","",COUNTIF(Games!B:B,"*" &amp; A20 &amp; "*"))</f>
        <v>2</v>
      </c>
      <c r="C20">
        <f>IF(A20="","",COUNTIF(Games!B:C,"*" &amp; A20 &amp; "*"))</f>
        <v>7</v>
      </c>
      <c r="D20" s="2">
        <f>IF(C20=0,"",B20/C20)</f>
        <v>0.2857142857142857</v>
      </c>
      <c r="E20">
        <f>IF(C20&lt;$L$2,"",IF(C20=0,"",D20*(C20/(C20+$K$2))))</f>
        <v>0.19999999999999998</v>
      </c>
      <c r="F20">
        <f>IF(E20="","",RANK(E20,$E$2:$E$100,0))</f>
        <v>18</v>
      </c>
      <c r="G20" cm="1">
        <f t="array" ref="G20">IF(E20="","",RANK(E20,$E$2:$E$100,0)-SUMPRODUCT(($E$2:$E$100&gt;E20)/COUNTIF($E$2:$E$100,$E$2:$E$100)))</f>
        <v>10</v>
      </c>
    </row>
    <row r="21" spans="1:7" x14ac:dyDescent="0.25">
      <c r="A21" t="s">
        <v>15</v>
      </c>
      <c r="B21">
        <f>IF(A21="","",COUNTIF(Games!B:B,"*" &amp; A21 &amp; "*"))</f>
        <v>2</v>
      </c>
      <c r="C21">
        <f>IF(A21="","",COUNTIF(Games!B:C,"*" &amp; A21 &amp; "*"))</f>
        <v>8</v>
      </c>
      <c r="D21" s="2">
        <f>IF(C21=0,"",B21/C21)</f>
        <v>0.25</v>
      </c>
      <c r="E21">
        <f>IF(C21&lt;$L$2,"",IF(C21=0,"",D21*(C21/(C21+$K$2))))</f>
        <v>0.18181818181818182</v>
      </c>
      <c r="F21">
        <f>IF(E21="","",RANK(E21,$E$2:$E$100,0))</f>
        <v>19</v>
      </c>
      <c r="G21" cm="1">
        <f t="array" ref="G21">IF(E21="","",RANK(E21,$E$2:$E$100,0)-SUMPRODUCT(($E$2:$E$100&gt;E21)/COUNTIF($E$2:$E$100,$E$2:$E$100)))</f>
        <v>10</v>
      </c>
    </row>
    <row r="22" spans="1:7" x14ac:dyDescent="0.25">
      <c r="A22" t="s">
        <v>26</v>
      </c>
      <c r="B22">
        <f>IF(A22="","",COUNTIF(Games!B:B,"*" &amp; A22 &amp; "*"))</f>
        <v>1</v>
      </c>
      <c r="C22">
        <f>IF(A22="","",COUNTIF(Games!B:C,"*" &amp; A22 &amp; "*"))</f>
        <v>4</v>
      </c>
      <c r="D22" s="2">
        <f>IF(C22=0,"",B22/C22)</f>
        <v>0.25</v>
      </c>
      <c r="E22">
        <f>IF(C22&lt;$L$2,"",IF(C22=0,"",D22*(C22/(C22+$K$2))))</f>
        <v>0.14285714285714285</v>
      </c>
      <c r="F22">
        <f>IF(E22="","",RANK(E22,$E$2:$E$100,0))</f>
        <v>21</v>
      </c>
      <c r="G22" cm="1">
        <f t="array" ref="G22">IF(E22="","",RANK(E22,$E$2:$E$100,0)-SUMPRODUCT(($E$2:$E$100&gt;E22)/COUNTIF($E$2:$E$100,$E$2:$E$100)))</f>
        <v>10</v>
      </c>
    </row>
    <row r="23" spans="1:7" x14ac:dyDescent="0.25">
      <c r="A23" t="s">
        <v>25</v>
      </c>
      <c r="B23">
        <f>IF(A23="","",COUNTIF(Games!B:B,"*" &amp; A23 &amp; "*"))</f>
        <v>1</v>
      </c>
      <c r="C23">
        <f>IF(A23="","",COUNTIF(Games!B:C,"*" &amp; A23 &amp; "*"))</f>
        <v>7</v>
      </c>
      <c r="D23" s="2">
        <f>IF(C23=0,"",B23/C23)</f>
        <v>0.14285714285714285</v>
      </c>
      <c r="E23">
        <f>IF(C23&lt;$L$2,"",IF(C23=0,"",D23*(C23/(C23+$K$2))))</f>
        <v>9.9999999999999992E-2</v>
      </c>
      <c r="F23">
        <f>IF(E23="","",RANK(E23,$E$2:$E$100,0))</f>
        <v>22</v>
      </c>
      <c r="G23" cm="1">
        <f t="array" ref="G23">IF(E23="","",RANK(E23,$E$2:$E$100,0)-SUMPRODUCT(($E$2:$E$100&gt;E23)/COUNTIF($E$2:$E$100,$E$2:$E$100)))</f>
        <v>10</v>
      </c>
    </row>
    <row r="24" spans="1:7" x14ac:dyDescent="0.25">
      <c r="A24" t="s">
        <v>76</v>
      </c>
      <c r="B24">
        <f>IF(A24="","",COUNTIF(Games!B:B,"*" &amp; A24 &amp; "*"))</f>
        <v>0</v>
      </c>
      <c r="C24">
        <f>IF(A24="","",COUNTIF(Games!B:C,"*" &amp; A24 &amp; "*"))</f>
        <v>1</v>
      </c>
      <c r="D24" s="2">
        <f>IF(C24=0,"",B24/C24)</f>
        <v>0</v>
      </c>
      <c r="E24">
        <f>IF(C24&lt;$L$2,"",IF(C24=0,"",D24*(C24/(C24+$K$2))))</f>
        <v>0</v>
      </c>
      <c r="F24">
        <f>IF(E24="","",RANK(E24,$E$2:$E$100,0))</f>
        <v>23</v>
      </c>
      <c r="G24" cm="1">
        <f t="array" ref="G24">IF(E24="","",RANK(E24,$E$2:$E$100,0)-SUMPRODUCT(($E$2:$E$100&gt;E24)/COUNTIF($E$2:$E$100,$E$2:$E$100)))</f>
        <v>10</v>
      </c>
    </row>
    <row r="25" spans="1:7" x14ac:dyDescent="0.25">
      <c r="B25" t="str">
        <f>IF(A25="","",COUNTIF(Games!B:B,"*" &amp; A25 &amp; "*"))</f>
        <v/>
      </c>
      <c r="C25" t="str">
        <f>IF(A25="","",COUNTIF(Games!B:C,"*" &amp; A25 &amp; "*"))</f>
        <v/>
      </c>
      <c r="D25" s="2"/>
    </row>
    <row r="26" spans="1:7" x14ac:dyDescent="0.25">
      <c r="B26" t="str">
        <f>IF(A26="","",COUNTIF(Games!B:B,"*" &amp; A26 &amp; "*"))</f>
        <v/>
      </c>
      <c r="C26" t="str">
        <f>IF(A26="","",COUNTIF(Games!B:C,"*" &amp; A26 &amp; "*"))</f>
        <v/>
      </c>
      <c r="D26" s="2"/>
    </row>
    <row r="27" spans="1:7" x14ac:dyDescent="0.25">
      <c r="B27" t="str">
        <f>IF(A27="","",COUNTIF(Games!B:B,"*" &amp; A27 &amp; "*"))</f>
        <v/>
      </c>
      <c r="C27" t="str">
        <f>IF(A27="","",COUNTIF(Games!B:C,"*" &amp; A27 &amp; "*"))</f>
        <v/>
      </c>
      <c r="D27" s="2"/>
    </row>
    <row r="28" spans="1:7" x14ac:dyDescent="0.25">
      <c r="B28" t="str">
        <f>IF(A28="","",COUNTIF(Games!B:B,"*" &amp; A28 &amp; "*"))</f>
        <v/>
      </c>
      <c r="C28" t="str">
        <f>IF(A28="","",COUNTIF(Games!B:C,"*" &amp; A28 &amp; "*"))</f>
        <v/>
      </c>
      <c r="D28" s="2"/>
    </row>
    <row r="29" spans="1:7" x14ac:dyDescent="0.25">
      <c r="B29" t="str">
        <f>IF(A29="","",COUNTIF(Games!B:B,"*" &amp; A29 &amp; "*"))</f>
        <v/>
      </c>
      <c r="C29" t="str">
        <f>IF(A29="","",COUNTIF(Games!B:C,"*" &amp; A29 &amp; "*"))</f>
        <v/>
      </c>
      <c r="D29" s="2"/>
    </row>
    <row r="30" spans="1:7" x14ac:dyDescent="0.25">
      <c r="B30" t="str">
        <f>IF(A30="","",COUNTIF(Games!B:B,"*" &amp; A30 &amp; "*"))</f>
        <v/>
      </c>
      <c r="C30" t="str">
        <f>IF(A30="","",COUNTIF(Games!B:C,"*" &amp; A30 &amp; "*"))</f>
        <v/>
      </c>
      <c r="D30" s="2"/>
    </row>
    <row r="31" spans="1:7" x14ac:dyDescent="0.25">
      <c r="B31" t="str">
        <f>IF(A31="","",COUNTIF(Games!B:B,"*" &amp; A31 &amp; "*"))</f>
        <v/>
      </c>
      <c r="C31" t="str">
        <f>IF(A31="","",COUNTIF(Games!B:C,"*" &amp; A31 &amp; "*"))</f>
        <v/>
      </c>
      <c r="D31" s="2"/>
    </row>
    <row r="32" spans="1:7" x14ac:dyDescent="0.25">
      <c r="B32" t="str">
        <f>IF(A32="","",COUNTIF(Games!B:B,"*" &amp; A32 &amp; "*"))</f>
        <v/>
      </c>
      <c r="C32" t="str">
        <f>IF(A32="","",COUNTIF(Games!B:C,"*" &amp; A32 &amp; "*"))</f>
        <v/>
      </c>
      <c r="D32" s="2"/>
    </row>
    <row r="33" spans="2:4" x14ac:dyDescent="0.25">
      <c r="B33" t="str">
        <f>IF(A33="","",COUNTIF(Games!B:B,"*" &amp; A33 &amp; "*"))</f>
        <v/>
      </c>
      <c r="C33" t="str">
        <f>IF(A33="","",COUNTIF(Games!B:C,"*" &amp; A33 &amp; "*"))</f>
        <v/>
      </c>
      <c r="D33" s="2"/>
    </row>
    <row r="34" spans="2:4" x14ac:dyDescent="0.25">
      <c r="B34" t="str">
        <f>IF(A34="","",COUNTIF(Games!B:B,"*" &amp; A34 &amp; "*"))</f>
        <v/>
      </c>
      <c r="C34" t="str">
        <f>IF(A34="","",COUNTIF(Games!B:C,"*" &amp; A34 &amp; "*"))</f>
        <v/>
      </c>
      <c r="D34" s="2"/>
    </row>
    <row r="35" spans="2:4" x14ac:dyDescent="0.25">
      <c r="B35" t="str">
        <f>IF(A35="","",COUNTIF(Games!B:B,"*" &amp; A35 &amp; "*"))</f>
        <v/>
      </c>
      <c r="C35" t="str">
        <f>IF(A35="","",COUNTIF(Games!B:C,"*" &amp; A35 &amp; "*"))</f>
        <v/>
      </c>
      <c r="D35" s="2"/>
    </row>
    <row r="36" spans="2:4" x14ac:dyDescent="0.25">
      <c r="B36" t="str">
        <f>IF(A36="","",COUNTIF(Games!B:B,"*" &amp; A36 &amp; "*"))</f>
        <v/>
      </c>
      <c r="C36" t="str">
        <f>IF(A36="","",COUNTIF(Games!B:C,"*" &amp; A36 &amp; "*"))</f>
        <v/>
      </c>
      <c r="D36" s="2"/>
    </row>
    <row r="37" spans="2:4" x14ac:dyDescent="0.25">
      <c r="B37" t="str">
        <f>IF(A37="","",COUNTIF(Games!B:B,"*" &amp; A37 &amp; "*"))</f>
        <v/>
      </c>
      <c r="C37" t="str">
        <f>IF(A37="","",COUNTIF(Games!B:C,"*" &amp; A37 &amp; "*"))</f>
        <v/>
      </c>
      <c r="D37" s="2"/>
    </row>
    <row r="38" spans="2:4" x14ac:dyDescent="0.25">
      <c r="B38" t="str">
        <f>IF(A38="","",COUNTIF(Games!B:B,"*" &amp; A38 &amp; "*"))</f>
        <v/>
      </c>
      <c r="C38" t="str">
        <f>IF(A38="","",COUNTIF(Games!B:C,"*" &amp; A38 &amp; "*"))</f>
        <v/>
      </c>
      <c r="D38" s="2"/>
    </row>
    <row r="39" spans="2:4" x14ac:dyDescent="0.25">
      <c r="B39" t="str">
        <f>IF(A39="","",COUNTIF(Games!B:B,"*" &amp; A39 &amp; "*"))</f>
        <v/>
      </c>
      <c r="C39" t="str">
        <f>IF(A39="","",COUNTIF(Games!B:C,"*" &amp; A39 &amp; "*"))</f>
        <v/>
      </c>
      <c r="D39" s="2"/>
    </row>
    <row r="40" spans="2:4" x14ac:dyDescent="0.25">
      <c r="B40" t="str">
        <f>IF(A40="","",COUNTIF(Games!B:B,"*" &amp; A40 &amp; "*"))</f>
        <v/>
      </c>
      <c r="C40" t="str">
        <f>IF(A40="","",COUNTIF(Games!B:C,"*" &amp; A40 &amp; "*"))</f>
        <v/>
      </c>
      <c r="D40" s="2"/>
    </row>
    <row r="41" spans="2:4" x14ac:dyDescent="0.25">
      <c r="B41" t="str">
        <f>IF(A41="","",COUNTIF(Games!B:B,"*" &amp; A41 &amp; "*"))</f>
        <v/>
      </c>
      <c r="C41" t="str">
        <f>IF(A41="","",COUNTIF(Games!B:C,"*" &amp; A41 &amp; "*"))</f>
        <v/>
      </c>
      <c r="D41" s="2"/>
    </row>
    <row r="42" spans="2:4" x14ac:dyDescent="0.25">
      <c r="B42" t="str">
        <f>IF(A42="","",COUNTIF(Games!B:B,"*" &amp; A42 &amp; "*"))</f>
        <v/>
      </c>
      <c r="C42" t="str">
        <f>IF(A42="","",COUNTIF(Games!B:C,"*" &amp; A42 &amp; "*"))</f>
        <v/>
      </c>
      <c r="D42" s="2"/>
    </row>
    <row r="43" spans="2:4" x14ac:dyDescent="0.25">
      <c r="B43" t="str">
        <f>IF(A43="","",COUNTIF(Games!B:B,"*" &amp; A43 &amp; "*"))</f>
        <v/>
      </c>
      <c r="C43" t="str">
        <f>IF(A43="","",COUNTIF(Games!B:C,"*" &amp; A43 &amp; "*"))</f>
        <v/>
      </c>
      <c r="D43" s="2"/>
    </row>
    <row r="44" spans="2:4" x14ac:dyDescent="0.25">
      <c r="B44" t="str">
        <f>IF(A44="","",COUNTIF(Games!B:B,"*" &amp; A44 &amp; "*"))</f>
        <v/>
      </c>
      <c r="C44" t="str">
        <f>IF(A44="","",COUNTIF(Games!B:C,"*" &amp; A44 &amp; "*"))</f>
        <v/>
      </c>
      <c r="D44" s="2"/>
    </row>
    <row r="45" spans="2:4" x14ac:dyDescent="0.25">
      <c r="B45" t="str">
        <f>IF(A45="","",COUNTIF(Games!B:B,"*" &amp; A45 &amp; "*"))</f>
        <v/>
      </c>
      <c r="C45" t="str">
        <f>IF(A45="","",COUNTIF(Games!B:C,"*" &amp; A45 &amp; "*"))</f>
        <v/>
      </c>
      <c r="D45" s="2"/>
    </row>
    <row r="46" spans="2:4" x14ac:dyDescent="0.25">
      <c r="B46" t="str">
        <f>IF(A46="","",COUNTIF(Games!B:B,"*" &amp; A46 &amp; "*"))</f>
        <v/>
      </c>
      <c r="C46" t="str">
        <f>IF(A46="","",COUNTIF(Games!B:C,"*" &amp; A46 &amp; "*"))</f>
        <v/>
      </c>
      <c r="D46" s="2"/>
    </row>
    <row r="47" spans="2:4" x14ac:dyDescent="0.25">
      <c r="B47" t="str">
        <f>IF(A47="","",COUNTIF(Games!B:B,"*" &amp; A47 &amp; "*"))</f>
        <v/>
      </c>
      <c r="C47" t="str">
        <f>IF(A47="","",COUNTIF(Games!B:C,"*" &amp; A47 &amp; "*"))</f>
        <v/>
      </c>
      <c r="D47" s="2"/>
    </row>
    <row r="48" spans="2:4" x14ac:dyDescent="0.25">
      <c r="B48" t="str">
        <f>IF(A48="","",COUNTIF(Games!B:B,"*" &amp; A48 &amp; "*"))</f>
        <v/>
      </c>
      <c r="C48" t="str">
        <f>IF(A48="","",COUNTIF(Games!B:C,"*" &amp; A48 &amp; "*"))</f>
        <v/>
      </c>
      <c r="D48" s="2"/>
    </row>
    <row r="49" spans="2:4" x14ac:dyDescent="0.25">
      <c r="B49" t="str">
        <f>IF(A49="","",COUNTIF(Games!B:B,"*" &amp; A49 &amp; "*"))</f>
        <v/>
      </c>
      <c r="C49" t="str">
        <f>IF(A49="","",COUNTIF(Games!B:C,"*" &amp; A49 &amp; "*"))</f>
        <v/>
      </c>
      <c r="D49" s="2"/>
    </row>
    <row r="50" spans="2:4" x14ac:dyDescent="0.25">
      <c r="B50" t="str">
        <f>IF(A50="","",COUNTIF(Games!B:B,"*" &amp; A50 &amp; "*"))</f>
        <v/>
      </c>
      <c r="C50" t="str">
        <f>IF(A50="","",COUNTIF(Games!B:C,"*" &amp; A50 &amp; "*"))</f>
        <v/>
      </c>
      <c r="D50" s="2"/>
    </row>
    <row r="51" spans="2:4" x14ac:dyDescent="0.25">
      <c r="B51" t="str">
        <f>IF(A51="","",COUNTIF(Games!B:B,"*" &amp; A51 &amp; "*"))</f>
        <v/>
      </c>
      <c r="C51" t="str">
        <f>IF(A51="","",COUNTIF(Games!B:C,"*" &amp; A51 &amp; "*"))</f>
        <v/>
      </c>
      <c r="D51" s="2"/>
    </row>
    <row r="52" spans="2:4" x14ac:dyDescent="0.25">
      <c r="B52" t="str">
        <f>IF(A52="","",COUNTIF(Games!B:B,"*" &amp; A52 &amp; "*"))</f>
        <v/>
      </c>
      <c r="C52" t="str">
        <f>IF(A52="","",COUNTIF(Games!B:C,"*" &amp; A52 &amp; "*"))</f>
        <v/>
      </c>
      <c r="D52" s="2"/>
    </row>
    <row r="53" spans="2:4" x14ac:dyDescent="0.25">
      <c r="B53" t="str">
        <f>IF(A53="","",COUNTIF(Games!B:B,"*" &amp; A53 &amp; "*"))</f>
        <v/>
      </c>
      <c r="C53" t="str">
        <f>IF(A53="","",COUNTIF(Games!B:C,"*" &amp; A53 &amp; "*"))</f>
        <v/>
      </c>
      <c r="D53" s="2"/>
    </row>
    <row r="54" spans="2:4" x14ac:dyDescent="0.25">
      <c r="B54" t="str">
        <f>IF(A54="","",COUNTIF(Games!B:B,"*" &amp; A54 &amp; "*"))</f>
        <v/>
      </c>
      <c r="C54" t="str">
        <f>IF(A54="","",COUNTIF(Games!B:C,"*" &amp; A54 &amp; "*"))</f>
        <v/>
      </c>
      <c r="D54" s="2"/>
    </row>
    <row r="55" spans="2:4" x14ac:dyDescent="0.25">
      <c r="B55" t="str">
        <f>IF(A55="","",COUNTIF(Games!B:B,"*" &amp; A55 &amp; "*"))</f>
        <v/>
      </c>
      <c r="C55" t="str">
        <f>IF(A55="","",COUNTIF(Games!B:C,"*" &amp; A55 &amp; "*"))</f>
        <v/>
      </c>
      <c r="D55" s="2"/>
    </row>
    <row r="56" spans="2:4" x14ac:dyDescent="0.25">
      <c r="B56" t="str">
        <f>IF(A56="","",COUNTIF(Games!B:B,"*" &amp; A56 &amp; "*"))</f>
        <v/>
      </c>
      <c r="C56" t="str">
        <f>IF(A56="","",COUNTIF(Games!B:C,"*" &amp; A56 &amp; "*"))</f>
        <v/>
      </c>
      <c r="D56" s="2"/>
    </row>
    <row r="57" spans="2:4" x14ac:dyDescent="0.25">
      <c r="B57" t="str">
        <f>IF(A57="","",COUNTIF(Games!B:B,"*" &amp; A57 &amp; "*"))</f>
        <v/>
      </c>
      <c r="C57" t="str">
        <f>IF(A57="","",COUNTIF(Games!B:C,"*" &amp; A57 &amp; "*"))</f>
        <v/>
      </c>
      <c r="D57" s="2"/>
    </row>
    <row r="58" spans="2:4" x14ac:dyDescent="0.25">
      <c r="B58" t="str">
        <f>IF(A58="","",COUNTIF(Games!B:B,"*" &amp; A58 &amp; "*"))</f>
        <v/>
      </c>
      <c r="C58" t="str">
        <f>IF(A58="","",COUNTIF(Games!B:C,"*" &amp; A58 &amp; "*"))</f>
        <v/>
      </c>
      <c r="D58" s="2"/>
    </row>
    <row r="59" spans="2:4" x14ac:dyDescent="0.25">
      <c r="B59" t="str">
        <f>IF(A59="","",COUNTIF(Games!B:B,"*" &amp; A59 &amp; "*"))</f>
        <v/>
      </c>
      <c r="C59" t="str">
        <f>IF(A59="","",COUNTIF(Games!B:C,"*" &amp; A59 &amp; "*"))</f>
        <v/>
      </c>
      <c r="D59" s="2"/>
    </row>
    <row r="60" spans="2:4" x14ac:dyDescent="0.25">
      <c r="B60" t="str">
        <f>IF(A60="","",COUNTIF(Games!B:B,"*" &amp; A60 &amp; "*"))</f>
        <v/>
      </c>
      <c r="C60" t="str">
        <f>IF(A60="","",COUNTIF(Games!B:C,"*" &amp; A60 &amp; "*"))</f>
        <v/>
      </c>
      <c r="D60" s="2"/>
    </row>
    <row r="61" spans="2:4" x14ac:dyDescent="0.25">
      <c r="B61" t="str">
        <f>IF(A61="","",COUNTIF(Games!B:B,"*" &amp; A61 &amp; "*"))</f>
        <v/>
      </c>
      <c r="C61" t="str">
        <f>IF(A61="","",COUNTIF(Games!B:C,"*" &amp; A61 &amp; "*"))</f>
        <v/>
      </c>
      <c r="D61" s="2"/>
    </row>
    <row r="62" spans="2:4" x14ac:dyDescent="0.25">
      <c r="B62" t="str">
        <f>IF(A62="","",COUNTIF(Games!B:B,"*" &amp; A62 &amp; "*"))</f>
        <v/>
      </c>
      <c r="C62" t="str">
        <f>IF(A62="","",COUNTIF(Games!B:C,"*" &amp; A62 &amp; "*"))</f>
        <v/>
      </c>
      <c r="D62" s="2"/>
    </row>
    <row r="63" spans="2:4" x14ac:dyDescent="0.25">
      <c r="B63" t="str">
        <f>IF(A63="","",COUNTIF(Games!B:B,"*" &amp; A63 &amp; "*"))</f>
        <v/>
      </c>
      <c r="C63" t="str">
        <f>IF(A63="","",COUNTIF(Games!B:C,"*" &amp; A63 &amp; "*"))</f>
        <v/>
      </c>
      <c r="D63" s="2"/>
    </row>
    <row r="64" spans="2:4" x14ac:dyDescent="0.25">
      <c r="B64" t="str">
        <f>IF(A64="","",COUNTIF(Games!B:B,"*" &amp; A64 &amp; "*"))</f>
        <v/>
      </c>
      <c r="C64" t="str">
        <f>IF(A64="","",COUNTIF(Games!B:C,"*" &amp; A64 &amp; "*"))</f>
        <v/>
      </c>
      <c r="D64" s="2"/>
    </row>
    <row r="65" spans="2:4" x14ac:dyDescent="0.25">
      <c r="B65" t="str">
        <f>IF(A65="","",COUNTIF(Games!B:B,"*" &amp; A65 &amp; "*"))</f>
        <v/>
      </c>
      <c r="C65" t="str">
        <f>IF(A65="","",COUNTIF(Games!B:C,"*" &amp; A65 &amp; "*"))</f>
        <v/>
      </c>
      <c r="D65" s="2"/>
    </row>
    <row r="66" spans="2:4" x14ac:dyDescent="0.25">
      <c r="B66" t="str">
        <f>IF(A66="","",COUNTIF(Games!B:B,"*" &amp; A66 &amp; "*"))</f>
        <v/>
      </c>
      <c r="C66" t="str">
        <f>IF(A66="","",COUNTIF(Games!B:C,"*" &amp; A66 &amp; "*"))</f>
        <v/>
      </c>
      <c r="D66" s="2"/>
    </row>
    <row r="67" spans="2:4" x14ac:dyDescent="0.25">
      <c r="B67" t="str">
        <f>IF(A67="","",COUNTIF(Games!B:B,"*" &amp; A67 &amp; "*"))</f>
        <v/>
      </c>
      <c r="C67" t="str">
        <f>IF(A67="","",COUNTIF(Games!B:C,"*" &amp; A67 &amp; "*"))</f>
        <v/>
      </c>
      <c r="D67" s="2"/>
    </row>
    <row r="68" spans="2:4" x14ac:dyDescent="0.25">
      <c r="B68" t="str">
        <f>IF(A68="","",COUNTIF(Games!B:B,"*" &amp; A68 &amp; "*"))</f>
        <v/>
      </c>
      <c r="C68" t="str">
        <f>IF(A68="","",COUNTIF(Games!B:C,"*" &amp; A68 &amp; "*"))</f>
        <v/>
      </c>
      <c r="D68" s="2"/>
    </row>
    <row r="69" spans="2:4" x14ac:dyDescent="0.25">
      <c r="B69" t="str">
        <f>IF(A69="","",COUNTIF(Games!B:B,"*" &amp; A69 &amp; "*"))</f>
        <v/>
      </c>
      <c r="C69" t="str">
        <f>IF(A69="","",COUNTIF(Games!B:C,"*" &amp; A69 &amp; "*"))</f>
        <v/>
      </c>
      <c r="D69" s="2"/>
    </row>
    <row r="70" spans="2:4" x14ac:dyDescent="0.25">
      <c r="B70" t="str">
        <f>IF(A70="","",COUNTIF(Games!B:B,"*" &amp; A70 &amp; "*"))</f>
        <v/>
      </c>
      <c r="C70" t="str">
        <f>IF(A70="","",COUNTIF(Games!B:C,"*" &amp; A70 &amp; "*"))</f>
        <v/>
      </c>
      <c r="D70" s="2"/>
    </row>
    <row r="71" spans="2:4" x14ac:dyDescent="0.25">
      <c r="B71" t="str">
        <f>IF(A71="","",COUNTIF(Games!B:B,"*" &amp; A71 &amp; "*"))</f>
        <v/>
      </c>
      <c r="C71" t="str">
        <f>IF(A71="","",COUNTIF(Games!B:C,"*" &amp; A71 &amp; "*"))</f>
        <v/>
      </c>
      <c r="D71" s="2"/>
    </row>
    <row r="72" spans="2:4" x14ac:dyDescent="0.25">
      <c r="B72" t="str">
        <f>IF(A72="","",COUNTIF(Games!B:B,"*" &amp; A72 &amp; "*"))</f>
        <v/>
      </c>
      <c r="C72" t="str">
        <f>IF(A72="","",COUNTIF(Games!B:C,"*" &amp; A72 &amp; "*"))</f>
        <v/>
      </c>
      <c r="D72" s="2"/>
    </row>
    <row r="73" spans="2:4" x14ac:dyDescent="0.25">
      <c r="B73" t="str">
        <f>IF(A73="","",COUNTIF(Games!B:B,"*" &amp; A73 &amp; "*"))</f>
        <v/>
      </c>
      <c r="C73" t="str">
        <f>IF(A73="","",COUNTIF(Games!B:C,"*" &amp; A73 &amp; "*"))</f>
        <v/>
      </c>
      <c r="D73" s="2"/>
    </row>
    <row r="74" spans="2:4" x14ac:dyDescent="0.25">
      <c r="B74" t="str">
        <f>IF(A74="","",COUNTIF(Games!B:B,"*" &amp; A74 &amp; "*"))</f>
        <v/>
      </c>
      <c r="C74" t="str">
        <f>IF(A74="","",COUNTIF(Games!B:C,"*" &amp; A74 &amp; "*"))</f>
        <v/>
      </c>
      <c r="D74" s="2"/>
    </row>
    <row r="75" spans="2:4" x14ac:dyDescent="0.25">
      <c r="B75" t="str">
        <f>IF(A75="","",COUNTIF(Games!B:B,"*" &amp; A75 &amp; "*"))</f>
        <v/>
      </c>
      <c r="C75" t="str">
        <f>IF(A75="","",COUNTIF(Games!B:C,"*" &amp; A75 &amp; "*"))</f>
        <v/>
      </c>
      <c r="D75" s="2"/>
    </row>
    <row r="76" spans="2:4" x14ac:dyDescent="0.25">
      <c r="B76" t="str">
        <f>IF(A76="","",COUNTIF(Games!B:B,"*" &amp; A76 &amp; "*"))</f>
        <v/>
      </c>
      <c r="C76" t="str">
        <f>IF(A76="","",COUNTIF(Games!B:C,"*" &amp; A76 &amp; "*"))</f>
        <v/>
      </c>
      <c r="D76" s="2"/>
    </row>
    <row r="77" spans="2:4" x14ac:dyDescent="0.25">
      <c r="B77" t="str">
        <f>IF(A77="","",COUNTIF(Games!B:B,"*" &amp; A77 &amp; "*"))</f>
        <v/>
      </c>
      <c r="C77" t="str">
        <f>IF(A77="","",COUNTIF(Games!B:C,"*" &amp; A77 &amp; "*"))</f>
        <v/>
      </c>
      <c r="D77" s="2"/>
    </row>
    <row r="78" spans="2:4" x14ac:dyDescent="0.25">
      <c r="B78" t="str">
        <f>IF(A78="","",COUNTIF(Games!B:B,"*" &amp; A78 &amp; "*"))</f>
        <v/>
      </c>
      <c r="C78" t="str">
        <f>IF(A78="","",COUNTIF(Games!B:C,"*" &amp; A78 &amp; "*"))</f>
        <v/>
      </c>
      <c r="D78" s="2"/>
    </row>
    <row r="79" spans="2:4" x14ac:dyDescent="0.25">
      <c r="B79" t="str">
        <f>IF(A79="","",COUNTIF(Games!B:B,"*" &amp; A79 &amp; "*"))</f>
        <v/>
      </c>
      <c r="C79" t="str">
        <f>IF(A79="","",COUNTIF(Games!B:C,"*" &amp; A79 &amp; "*"))</f>
        <v/>
      </c>
      <c r="D79" s="2"/>
    </row>
    <row r="80" spans="2:4" x14ac:dyDescent="0.25">
      <c r="B80" t="str">
        <f>IF(A80="","",COUNTIF(Games!B:B,"*" &amp; A80 &amp; "*"))</f>
        <v/>
      </c>
      <c r="C80" t="str">
        <f>IF(A80="","",COUNTIF(Games!B:C,"*" &amp; A80 &amp; "*"))</f>
        <v/>
      </c>
      <c r="D80" s="2"/>
    </row>
    <row r="81" spans="2:4" x14ac:dyDescent="0.25">
      <c r="B81" t="str">
        <f>IF(A81="","",COUNTIF(Games!B:B,"*" &amp; A81 &amp; "*"))</f>
        <v/>
      </c>
      <c r="C81" t="str">
        <f>IF(A81="","",COUNTIF(Games!B:C,"*" &amp; A81 &amp; "*"))</f>
        <v/>
      </c>
      <c r="D81" s="2"/>
    </row>
    <row r="82" spans="2:4" x14ac:dyDescent="0.25">
      <c r="B82" t="str">
        <f>IF(A82="","",COUNTIF(Games!B:B,"*" &amp; A82 &amp; "*"))</f>
        <v/>
      </c>
      <c r="C82" t="str">
        <f>IF(A82="","",COUNTIF(Games!B:C,"*" &amp; A82 &amp; "*"))</f>
        <v/>
      </c>
      <c r="D82" s="2"/>
    </row>
    <row r="83" spans="2:4" x14ac:dyDescent="0.25">
      <c r="B83" t="str">
        <f>IF(A83="","",COUNTIF(Games!B:B,"*" &amp; A83 &amp; "*"))</f>
        <v/>
      </c>
      <c r="C83" t="str">
        <f>IF(A83="","",COUNTIF(Games!B:C,"*" &amp; A83 &amp; "*"))</f>
        <v/>
      </c>
      <c r="D83" s="2"/>
    </row>
    <row r="84" spans="2:4" x14ac:dyDescent="0.25">
      <c r="B84" t="str">
        <f>IF(A84="","",COUNTIF(Games!B:B,"*" &amp; A84 &amp; "*"))</f>
        <v/>
      </c>
      <c r="C84" t="str">
        <f>IF(A84="","",COUNTIF(Games!B:C,"*" &amp; A84 &amp; "*"))</f>
        <v/>
      </c>
      <c r="D84" s="2"/>
    </row>
    <row r="85" spans="2:4" x14ac:dyDescent="0.25">
      <c r="B85" t="str">
        <f>IF(A85="","",COUNTIF(Games!B:B,"*" &amp; A85 &amp; "*"))</f>
        <v/>
      </c>
      <c r="C85" t="str">
        <f>IF(A85="","",COUNTIF(Games!B:C,"*" &amp; A85 &amp; "*"))</f>
        <v/>
      </c>
      <c r="D85" s="2"/>
    </row>
    <row r="86" spans="2:4" x14ac:dyDescent="0.25">
      <c r="B86" t="str">
        <f>IF(A86="","",COUNTIF(Games!B:B,"*" &amp; A86 &amp; "*"))</f>
        <v/>
      </c>
      <c r="C86" t="str">
        <f>IF(A86="","",COUNTIF(Games!B:C,"*" &amp; A86 &amp; "*"))</f>
        <v/>
      </c>
      <c r="D86" s="2"/>
    </row>
    <row r="87" spans="2:4" x14ac:dyDescent="0.25">
      <c r="B87" t="str">
        <f>IF(A87="","",COUNTIF(Games!B:B,"*" &amp; A87 &amp; "*"))</f>
        <v/>
      </c>
      <c r="C87" t="str">
        <f>IF(A87="","",COUNTIF(Games!B:C,"*" &amp; A87 &amp; "*"))</f>
        <v/>
      </c>
      <c r="D87" s="2"/>
    </row>
    <row r="88" spans="2:4" x14ac:dyDescent="0.25">
      <c r="B88" t="str">
        <f>IF(A88="","",COUNTIF(Games!B:B,"*" &amp; A88 &amp; "*"))</f>
        <v/>
      </c>
      <c r="C88" t="str">
        <f>IF(A88="","",COUNTIF(Games!B:C,"*" &amp; A88 &amp; "*"))</f>
        <v/>
      </c>
      <c r="D88" s="2"/>
    </row>
    <row r="89" spans="2:4" x14ac:dyDescent="0.25">
      <c r="B89" t="str">
        <f>IF(A89="","",COUNTIF(Games!B:B,"*" &amp; A89 &amp; "*"))</f>
        <v/>
      </c>
      <c r="C89" t="str">
        <f>IF(A89="","",COUNTIF(Games!B:C,"*" &amp; A89 &amp; "*"))</f>
        <v/>
      </c>
      <c r="D89" s="2"/>
    </row>
    <row r="90" spans="2:4" x14ac:dyDescent="0.25">
      <c r="B90" t="str">
        <f>IF(A90="","",COUNTIF(Games!B:B,"*" &amp; A90 &amp; "*"))</f>
        <v/>
      </c>
      <c r="C90" t="str">
        <f>IF(A90="","",COUNTIF(Games!B:C,"*" &amp; A90 &amp; "*"))</f>
        <v/>
      </c>
      <c r="D90" s="2"/>
    </row>
    <row r="91" spans="2:4" x14ac:dyDescent="0.25">
      <c r="B91" t="str">
        <f>IF(A91="","",COUNTIF(Games!B:B,"*" &amp; A91 &amp; "*"))</f>
        <v/>
      </c>
      <c r="C91" t="str">
        <f>IF(A91="","",COUNTIF(Games!B:C,"*" &amp; A91 &amp; "*"))</f>
        <v/>
      </c>
      <c r="D91" s="2"/>
    </row>
    <row r="92" spans="2:4" x14ac:dyDescent="0.25">
      <c r="B92" t="str">
        <f>IF(A92="","",COUNTIF(Games!B:B,"*" &amp; A92 &amp; "*"))</f>
        <v/>
      </c>
      <c r="C92" t="str">
        <f>IF(A92="","",COUNTIF(Games!B:C,"*" &amp; A92 &amp; "*"))</f>
        <v/>
      </c>
      <c r="D92" s="2"/>
    </row>
    <row r="93" spans="2:4" x14ac:dyDescent="0.25">
      <c r="B93" t="str">
        <f>IF(A93="","",COUNTIF(Games!B:B,"*" &amp; A93 &amp; "*"))</f>
        <v/>
      </c>
      <c r="C93" t="str">
        <f>IF(A93="","",COUNTIF(Games!B:C,"*" &amp; A93 &amp; "*"))</f>
        <v/>
      </c>
      <c r="D93" s="2"/>
    </row>
    <row r="94" spans="2:4" x14ac:dyDescent="0.25">
      <c r="B94" t="str">
        <f>IF(A94="","",COUNTIF(Games!B:B,"*" &amp; A94 &amp; "*"))</f>
        <v/>
      </c>
      <c r="C94" t="str">
        <f>IF(A94="","",COUNTIF(Games!B:C,"*" &amp; A94 &amp; "*"))</f>
        <v/>
      </c>
      <c r="D94" s="2"/>
    </row>
    <row r="95" spans="2:4" x14ac:dyDescent="0.25">
      <c r="B95" t="str">
        <f>IF(A95="","",COUNTIF(Games!B:B,"*" &amp; A95 &amp; "*"))</f>
        <v/>
      </c>
      <c r="C95" t="str">
        <f>IF(A95="","",COUNTIF(Games!B:C,"*" &amp; A95 &amp; "*"))</f>
        <v/>
      </c>
      <c r="D95" s="2"/>
    </row>
    <row r="96" spans="2:4" x14ac:dyDescent="0.25">
      <c r="B96" t="str">
        <f>IF(A96="","",COUNTIF(Games!B:B,"*" &amp; A96 &amp; "*"))</f>
        <v/>
      </c>
      <c r="C96" t="str">
        <f>IF(A96="","",COUNTIF(Games!B:C,"*" &amp; A96 &amp; "*"))</f>
        <v/>
      </c>
      <c r="D96" s="2"/>
    </row>
    <row r="97" spans="2:4" x14ac:dyDescent="0.25">
      <c r="B97" t="str">
        <f>IF(A97="","",COUNTIF(Games!B:B,"*" &amp; A97 &amp; "*"))</f>
        <v/>
      </c>
      <c r="C97" t="str">
        <f>IF(A97="","",COUNTIF(Games!B:C,"*" &amp; A97 &amp; "*"))</f>
        <v/>
      </c>
      <c r="D97" s="2"/>
    </row>
    <row r="98" spans="2:4" x14ac:dyDescent="0.25">
      <c r="B98" t="str">
        <f>IF(A98="","",COUNTIF(Games!B:B,"*" &amp; A98 &amp; "*"))</f>
        <v/>
      </c>
      <c r="C98" t="str">
        <f>IF(A98="","",COUNTIF(Games!B:C,"*" &amp; A98 &amp; "*"))</f>
        <v/>
      </c>
      <c r="D98" s="2"/>
    </row>
    <row r="99" spans="2:4" x14ac:dyDescent="0.25">
      <c r="B99" t="str">
        <f>IF(A99="","",COUNTIF(Games!B:B,"*" &amp; A99 &amp; "*"))</f>
        <v/>
      </c>
      <c r="C99" t="str">
        <f>IF(A99="","",COUNTIF(Games!B:C,"*" &amp; A99 &amp; "*"))</f>
        <v/>
      </c>
      <c r="D99" s="2"/>
    </row>
    <row r="100" spans="2:4" x14ac:dyDescent="0.25">
      <c r="B100" t="str">
        <f>IF(A100="","",COUNTIF(Games!B:B,"*" &amp; A100 &amp; "*"))</f>
        <v/>
      </c>
      <c r="C100" t="str">
        <f>IF(A100="","",COUNTIF(Games!B:C,"*" &amp; A100 &amp; "*"))</f>
        <v/>
      </c>
      <c r="D100" s="2"/>
    </row>
    <row r="101" spans="2:4" x14ac:dyDescent="0.25">
      <c r="B101" t="str">
        <f>IF(A101="","",COUNTIF(Games!B:B,"*" &amp; A101 &amp; "*"))</f>
        <v/>
      </c>
      <c r="C101" t="str">
        <f>IF(A101="","",COUNTIF(Games!B:C,"*" &amp; A101 &amp; "*"))</f>
        <v/>
      </c>
      <c r="D101" s="2"/>
    </row>
    <row r="102" spans="2:4" x14ac:dyDescent="0.25">
      <c r="B102" t="str">
        <f>IF(A102="","",COUNTIF(Games!B:B,"*" &amp; A102 &amp; "*"))</f>
        <v/>
      </c>
      <c r="C102" t="str">
        <f>IF(A102="","",COUNTIF(Games!B:C,"*" &amp; A102 &amp; "*"))</f>
        <v/>
      </c>
      <c r="D102" s="2"/>
    </row>
    <row r="103" spans="2:4" x14ac:dyDescent="0.25">
      <c r="B103" t="str">
        <f>IF(A103="","",COUNTIF(Games!B:B,"*" &amp; A103 &amp; "*"))</f>
        <v/>
      </c>
      <c r="C103" t="str">
        <f>IF(A103="","",COUNTIF(Games!B:C,"*" &amp; A103 &amp; "*"))</f>
        <v/>
      </c>
      <c r="D103" s="2"/>
    </row>
    <row r="104" spans="2:4" x14ac:dyDescent="0.25">
      <c r="B104" t="str">
        <f>IF(A104="","",COUNTIF(Games!B:B,"*" &amp; A104 &amp; "*"))</f>
        <v/>
      </c>
      <c r="C104" t="str">
        <f>IF(A104="","",COUNTIF(Games!B:C,"*" &amp; A104 &amp; "*"))</f>
        <v/>
      </c>
      <c r="D104" s="2"/>
    </row>
    <row r="105" spans="2:4" x14ac:dyDescent="0.25">
      <c r="B105" t="str">
        <f>IF(A105="","",COUNTIF(Games!B:B,"*" &amp; A105 &amp; "*"))</f>
        <v/>
      </c>
      <c r="C105" t="str">
        <f>IF(A105="","",COUNTIF(Games!B:C,"*" &amp; A105 &amp; "*"))</f>
        <v/>
      </c>
      <c r="D105" s="2"/>
    </row>
    <row r="106" spans="2:4" x14ac:dyDescent="0.25">
      <c r="B106" t="str">
        <f>IF(A106="","",COUNTIF(Games!B:B,"*" &amp; A106 &amp; "*"))</f>
        <v/>
      </c>
      <c r="C106" t="str">
        <f>IF(A106="","",COUNTIF(Games!B:C,"*" &amp; A106 &amp; "*"))</f>
        <v/>
      </c>
      <c r="D106" s="2"/>
    </row>
    <row r="107" spans="2:4" x14ac:dyDescent="0.25">
      <c r="B107" t="str">
        <f>IF(A107="","",COUNTIF(Games!B:B,"*" &amp; A107 &amp; "*"))</f>
        <v/>
      </c>
      <c r="C107" t="str">
        <f>IF(A107="","",COUNTIF(Games!B:C,"*" &amp; A107 &amp; "*"))</f>
        <v/>
      </c>
      <c r="D107" s="2"/>
    </row>
    <row r="108" spans="2:4" x14ac:dyDescent="0.25">
      <c r="B108" t="str">
        <f>IF(A108="","",COUNTIF(Games!B:B,"*" &amp; A108 &amp; "*"))</f>
        <v/>
      </c>
      <c r="C108" t="str">
        <f>IF(A108="","",COUNTIF(Games!B:C,"*" &amp; A108 &amp; "*"))</f>
        <v/>
      </c>
      <c r="D108" s="2"/>
    </row>
    <row r="109" spans="2:4" x14ac:dyDescent="0.25">
      <c r="B109" t="str">
        <f>IF(A109="","",COUNTIF(Games!B:B,"*" &amp; A109 &amp; "*"))</f>
        <v/>
      </c>
      <c r="C109" t="str">
        <f>IF(A109="","",COUNTIF(Games!B:C,"*" &amp; A109 &amp; "*"))</f>
        <v/>
      </c>
      <c r="D109" s="2"/>
    </row>
    <row r="110" spans="2:4" x14ac:dyDescent="0.25">
      <c r="B110" t="str">
        <f>IF(A110="","",COUNTIF(Games!B:B,"*" &amp; A110 &amp; "*"))</f>
        <v/>
      </c>
      <c r="C110" t="str">
        <f>IF(A110="","",COUNTIF(Games!B:C,"*" &amp; A110 &amp; "*"))</f>
        <v/>
      </c>
      <c r="D110" s="2"/>
    </row>
    <row r="111" spans="2:4" x14ac:dyDescent="0.25">
      <c r="B111" t="str">
        <f>IF(A111="","",COUNTIF(Games!B:B,"*" &amp; A111 &amp; "*"))</f>
        <v/>
      </c>
      <c r="C111" t="str">
        <f>IF(A111="","",COUNTIF(Games!B:C,"*" &amp; A111 &amp; "*"))</f>
        <v/>
      </c>
      <c r="D111" s="2"/>
    </row>
    <row r="112" spans="2:4" x14ac:dyDescent="0.25">
      <c r="B112" t="str">
        <f>IF(A112="","",COUNTIF(Games!B:B,"*" &amp; A112 &amp; "*"))</f>
        <v/>
      </c>
      <c r="C112" t="str">
        <f>IF(A112="","",COUNTIF(Games!B:C,"*" &amp; A112 &amp; "*"))</f>
        <v/>
      </c>
      <c r="D112" s="2"/>
    </row>
    <row r="113" spans="2:4" x14ac:dyDescent="0.25">
      <c r="B113" t="str">
        <f>IF(A113="","",COUNTIF(Games!B:B,"*" &amp; A113 &amp; "*"))</f>
        <v/>
      </c>
      <c r="C113" t="str">
        <f>IF(A113="","",COUNTIF(Games!B:C,"*" &amp; A113 &amp; "*"))</f>
        <v/>
      </c>
      <c r="D113" s="2"/>
    </row>
    <row r="114" spans="2:4" x14ac:dyDescent="0.25">
      <c r="B114" t="str">
        <f>IF(A114="","",COUNTIF(Games!B:B,"*" &amp; A114 &amp; "*"))</f>
        <v/>
      </c>
      <c r="C114" t="str">
        <f>IF(A114="","",COUNTIF(Games!B:C,"*" &amp; A114 &amp; "*"))</f>
        <v/>
      </c>
      <c r="D114" s="2"/>
    </row>
    <row r="115" spans="2:4" x14ac:dyDescent="0.25">
      <c r="B115" t="str">
        <f>IF(A115="","",COUNTIF(Games!B:B,"*" &amp; A115 &amp; "*"))</f>
        <v/>
      </c>
      <c r="C115" t="str">
        <f>IF(A115="","",COUNTIF(Games!B:C,"*" &amp; A115 &amp; "*"))</f>
        <v/>
      </c>
      <c r="D115" s="2"/>
    </row>
    <row r="116" spans="2:4" x14ac:dyDescent="0.25">
      <c r="B116" t="str">
        <f>IF(A116="","",COUNTIF(Games!B:B,"*" &amp; A116 &amp; "*"))</f>
        <v/>
      </c>
      <c r="C116" t="str">
        <f>IF(A116="","",COUNTIF(Games!B:C,"*" &amp; A116 &amp; "*"))</f>
        <v/>
      </c>
      <c r="D116" s="2"/>
    </row>
    <row r="117" spans="2:4" x14ac:dyDescent="0.25">
      <c r="B117" t="str">
        <f>IF(A117="","",COUNTIF(Games!B:B,"*" &amp; A117 &amp; "*"))</f>
        <v/>
      </c>
      <c r="C117" t="str">
        <f>IF(A117="","",COUNTIF(Games!B:C,"*" &amp; A117 &amp; "*"))</f>
        <v/>
      </c>
      <c r="D117" s="2"/>
    </row>
    <row r="118" spans="2:4" x14ac:dyDescent="0.25">
      <c r="B118" t="str">
        <f>IF(A118="","",COUNTIF(Games!B:B,"*" &amp; A118 &amp; "*"))</f>
        <v/>
      </c>
      <c r="C118" t="str">
        <f>IF(A118="","",COUNTIF(Games!B:C,"*" &amp; A118 &amp; "*"))</f>
        <v/>
      </c>
      <c r="D118" s="2"/>
    </row>
    <row r="119" spans="2:4" x14ac:dyDescent="0.25">
      <c r="B119" t="str">
        <f>IF(A119="","",COUNTIF(Games!B:B,"*" &amp; A119 &amp; "*"))</f>
        <v/>
      </c>
      <c r="C119" t="str">
        <f>IF(A119="","",COUNTIF(Games!B:C,"*" &amp; A119 &amp; "*"))</f>
        <v/>
      </c>
      <c r="D119" s="2"/>
    </row>
    <row r="120" spans="2:4" x14ac:dyDescent="0.25">
      <c r="B120" t="str">
        <f>IF(A120="","",COUNTIF(Games!B:B,"*" &amp; A120 &amp; "*"))</f>
        <v/>
      </c>
      <c r="C120" t="str">
        <f>IF(A120="","",COUNTIF(Games!B:C,"*" &amp; A120 &amp; "*"))</f>
        <v/>
      </c>
      <c r="D120" s="2"/>
    </row>
    <row r="121" spans="2:4" x14ac:dyDescent="0.25">
      <c r="B121" t="str">
        <f>IF(A121="","",COUNTIF(Games!B:B,"*" &amp; A121 &amp; "*"))</f>
        <v/>
      </c>
      <c r="C121" t="str">
        <f>IF(A121="","",COUNTIF(Games!B:C,"*" &amp; A121 &amp; "*"))</f>
        <v/>
      </c>
      <c r="D121" s="2"/>
    </row>
    <row r="122" spans="2:4" x14ac:dyDescent="0.25">
      <c r="B122" t="str">
        <f>IF(A122="","",COUNTIF(Games!B:B,"*" &amp; A122 &amp; "*"))</f>
        <v/>
      </c>
      <c r="C122" t="str">
        <f>IF(A122="","",COUNTIF(Games!B:C,"*" &amp; A122 &amp; "*"))</f>
        <v/>
      </c>
      <c r="D122" s="2"/>
    </row>
    <row r="123" spans="2:4" x14ac:dyDescent="0.25">
      <c r="B123" t="str">
        <f>IF(A123="","",COUNTIF(Games!B:B,"*" &amp; A123 &amp; "*"))</f>
        <v/>
      </c>
      <c r="C123" t="str">
        <f>IF(A123="","",COUNTIF(Games!B:C,"*" &amp; A123 &amp; "*"))</f>
        <v/>
      </c>
      <c r="D123" s="2"/>
    </row>
  </sheetData>
  <autoFilter ref="A1:G124" xr:uid="{00000000-0001-0000-0100-000000000000}">
    <sortState xmlns:xlrd2="http://schemas.microsoft.com/office/spreadsheetml/2017/richdata2" ref="A2:G123">
      <sortCondition descending="1" ref="D1:D124"/>
    </sortState>
  </autoFilter>
  <sortState xmlns:xlrd2="http://schemas.microsoft.com/office/spreadsheetml/2017/richdata2" ref="A2:G23">
    <sortCondition ref="G2:G23"/>
    <sortCondition descending="1" ref="B2:B2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3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b36afb9-e0fd-4277-a177-0131d1f25213}" enabled="1" method="Standard" siteId="{40f54f1a-11e4-414a-9ad4-aebc28d14a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Games</vt:lpstr>
      <vt:lpstr>Stats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Satish</cp:lastModifiedBy>
  <dcterms:created xsi:type="dcterms:W3CDTF">2025-10-02T13:24:05Z</dcterms:created>
  <dcterms:modified xsi:type="dcterms:W3CDTF">2025-12-11T11:18:54Z</dcterms:modified>
</cp:coreProperties>
</file>